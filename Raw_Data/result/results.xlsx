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Users\dw\Desktop\Project\Python\SSAR\Raw_Data\result\"/>
    </mc:Choice>
  </mc:AlternateContent>
  <xr:revisionPtr revIDLastSave="0" documentId="13_ncr:1_{8C44ABE3-8772-47F2-A55C-FCC942AFBDCB}" xr6:coauthVersionLast="47" xr6:coauthVersionMax="47" xr10:uidLastSave="{00000000-0000-0000-0000-000000000000}"/>
  <bookViews>
    <workbookView xWindow="-110" yWindow="-110" windowWidth="25820" windowHeight="15500" activeTab="3" xr2:uid="{00000000-000D-0000-FFFF-FFFF00000000}"/>
  </bookViews>
  <sheets>
    <sheet name="Metric" sheetId="2" r:id="rId1"/>
    <sheet name="Time" sheetId="6" r:id="rId2"/>
    <sheet name="Cliff's delta" sheetId="7" r:id="rId3"/>
    <sheet name="Ablation" sheetId="8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4" i="8" l="1"/>
  <c r="E14" i="8"/>
  <c r="D14" i="8"/>
  <c r="F12" i="8"/>
  <c r="E12" i="8"/>
  <c r="D12" i="8"/>
  <c r="L10" i="6"/>
  <c r="L9" i="6"/>
  <c r="L8" i="6"/>
  <c r="L7" i="6"/>
  <c r="L6" i="6"/>
  <c r="L5" i="6"/>
  <c r="L4" i="6"/>
</calcChain>
</file>

<file path=xl/sharedStrings.xml><?xml version="1.0" encoding="utf-8"?>
<sst xmlns="http://schemas.openxmlformats.org/spreadsheetml/2006/main" count="138" uniqueCount="47">
  <si>
    <t>a2a</t>
    <phoneticPr fontId="1" type="noConversion"/>
  </si>
  <si>
    <t>ACDC</t>
  </si>
  <si>
    <t>ARC</t>
  </si>
  <si>
    <t>Bunch-NAHC</t>
  </si>
  <si>
    <t>Bunch-SAHC</t>
  </si>
  <si>
    <t>FCA</t>
  </si>
  <si>
    <t>SARIF</t>
  </si>
  <si>
    <t>Average</t>
    <phoneticPr fontId="1" type="noConversion"/>
  </si>
  <si>
    <t>c2c</t>
    <phoneticPr fontId="1" type="noConversion"/>
  </si>
  <si>
    <t>MoJoFM</t>
    <phoneticPr fontId="1" type="noConversion"/>
  </si>
  <si>
    <t>ArchStudio</t>
  </si>
  <si>
    <t>Bash</t>
  </si>
  <si>
    <t>Chromium</t>
  </si>
  <si>
    <t>Hadoop</t>
  </si>
  <si>
    <t>HDC</t>
  </si>
  <si>
    <t>HDF</t>
  </si>
  <si>
    <t>ITK</t>
  </si>
  <si>
    <t>Libxml</t>
  </si>
  <si>
    <t>OODT</t>
  </si>
  <si>
    <t>M</t>
  </si>
  <si>
    <t>A</t>
  </si>
  <si>
    <t>C</t>
  </si>
  <si>
    <t>w/o dependency</t>
    <phoneticPr fontId="1" type="noConversion"/>
  </si>
  <si>
    <t>w/o similarity</t>
    <phoneticPr fontId="1" type="noConversion"/>
  </si>
  <si>
    <t xml:space="preserve">                                                                                                                                 </t>
    <phoneticPr fontId="1" type="noConversion"/>
  </si>
  <si>
    <t>w/o dependency</t>
  </si>
  <si>
    <t>w/o similarity</t>
  </si>
  <si>
    <t>avg.</t>
  </si>
  <si>
    <t>avg.</t>
    <phoneticPr fontId="1" type="noConversion"/>
  </si>
  <si>
    <t>red.</t>
  </si>
  <si>
    <t>red.</t>
    <phoneticPr fontId="1" type="noConversion"/>
  </si>
  <si>
    <t>Libxml2</t>
  </si>
  <si>
    <t>0.73 (L)</t>
    <phoneticPr fontId="1" type="noConversion"/>
  </si>
  <si>
    <t>0.75 (L)</t>
    <phoneticPr fontId="1" type="noConversion"/>
  </si>
  <si>
    <t>0.65 (L)</t>
    <phoneticPr fontId="1" type="noConversion"/>
  </si>
  <si>
    <t>0.58 (L)</t>
    <phoneticPr fontId="1" type="noConversion"/>
  </si>
  <si>
    <t>0.41 (M)</t>
    <phoneticPr fontId="1" type="noConversion"/>
  </si>
  <si>
    <t>Time</t>
  </si>
  <si>
    <t>0.70 (L)</t>
    <phoneticPr fontId="1" type="noConversion"/>
  </si>
  <si>
    <t>0.48 (L)</t>
    <phoneticPr fontId="1" type="noConversion"/>
  </si>
  <si>
    <t>0.95 (L)</t>
    <phoneticPr fontId="1" type="noConversion"/>
  </si>
  <si>
    <t>0.11 (N)</t>
    <phoneticPr fontId="1" type="noConversion"/>
  </si>
  <si>
    <t>0.60 (L)</t>
    <phoneticPr fontId="1" type="noConversion"/>
  </si>
  <si>
    <t>0.18 (S)</t>
    <phoneticPr fontId="1" type="noConversion"/>
  </si>
  <si>
    <t>0.09 (N)</t>
    <phoneticPr fontId="1" type="noConversion"/>
  </si>
  <si>
    <t>0.47 (M)</t>
    <phoneticPr fontId="1" type="noConversion"/>
  </si>
  <si>
    <t>SSAR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</si>
</sst>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%"/>
    <numFmt numFmtId="177" formatCode="0.0"/>
  </numFmts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auto="1"/>
      </top>
      <bottom/>
      <diagonal/>
    </border>
    <border>
      <left/>
      <right style="thin">
        <color auto="1"/>
      </right>
      <top style="double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uble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auto="1"/>
      </bottom>
      <diagonal/>
    </border>
    <border>
      <left/>
      <right/>
      <top style="thin">
        <color indexed="64"/>
      </top>
      <bottom style="double">
        <color auto="1"/>
      </bottom>
      <diagonal/>
    </border>
    <border>
      <left/>
      <right style="thin">
        <color indexed="64"/>
      </right>
      <top style="thin">
        <color indexed="64"/>
      </top>
      <bottom style="double">
        <color auto="1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>
      <alignment vertical="center"/>
    </xf>
  </cellStyleXfs>
  <cellXfs count="4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horizontal="center" vertical="center"/>
    </xf>
    <xf numFmtId="176" fontId="0" fillId="0" borderId="0" xfId="1" applyNumberFormat="1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76" fontId="0" fillId="0" borderId="3" xfId="1" applyNumberFormat="1" applyFont="1" applyBorder="1" applyAlignment="1">
      <alignment horizontal="center" vertical="center"/>
    </xf>
    <xf numFmtId="0" fontId="0" fillId="0" borderId="11" xfId="0" applyBorder="1" applyAlignment="1">
      <alignment vertical="center"/>
    </xf>
    <xf numFmtId="176" fontId="0" fillId="0" borderId="9" xfId="1" applyNumberFormat="1" applyFont="1" applyBorder="1" applyAlignment="1">
      <alignment horizontal="center" vertical="center"/>
    </xf>
    <xf numFmtId="176" fontId="0" fillId="0" borderId="10" xfId="1" applyNumberFormat="1" applyFont="1" applyBorder="1" applyAlignment="1">
      <alignment horizontal="center" vertical="center"/>
    </xf>
    <xf numFmtId="0" fontId="0" fillId="0" borderId="9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5" xfId="0" applyBorder="1" applyAlignment="1">
      <alignment vertical="center"/>
    </xf>
    <xf numFmtId="3" fontId="0" fillId="0" borderId="5" xfId="0" applyNumberFormat="1" applyBorder="1" applyAlignment="1">
      <alignment horizontal="center" vertical="center"/>
    </xf>
    <xf numFmtId="0" fontId="0" fillId="0" borderId="1" xfId="0" applyBorder="1" applyAlignment="1">
      <alignment vertical="center"/>
    </xf>
    <xf numFmtId="177" fontId="0" fillId="0" borderId="0" xfId="0" applyNumberFormat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0" fontId="0" fillId="0" borderId="13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2" fillId="0" borderId="6" xfId="0" applyFont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1" fontId="0" fillId="0" borderId="0" xfId="0" applyNumberFormat="1" applyFill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horizontal="center" vertical="center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8C8A2-903C-4B78-8884-4F8A7A93F619}">
  <dimension ref="B3:AC40"/>
  <sheetViews>
    <sheetView zoomScaleNormal="100" workbookViewId="0">
      <selection activeCell="H23" sqref="H23"/>
    </sheetView>
  </sheetViews>
  <sheetFormatPr defaultColWidth="8.6640625" defaultRowHeight="14" x14ac:dyDescent="0.3"/>
  <cols>
    <col min="1" max="1" width="6.33203125" style="2" customWidth="1"/>
    <col min="2" max="2" width="13.75" style="2" customWidth="1"/>
    <col min="3" max="29" width="7.08203125" style="2" customWidth="1"/>
    <col min="30" max="30" width="13.6640625" style="2" customWidth="1"/>
    <col min="31" max="31" width="8.6640625" style="2" customWidth="1"/>
    <col min="32" max="32" width="8.6640625" style="2"/>
    <col min="33" max="33" width="8.6640625" style="2" customWidth="1"/>
    <col min="34" max="16384" width="8.6640625" style="2"/>
  </cols>
  <sheetData>
    <row r="3" spans="2:29" x14ac:dyDescent="0.3">
      <c r="B3" s="33"/>
      <c r="C3" s="34" t="s">
        <v>10</v>
      </c>
      <c r="D3" s="34"/>
      <c r="E3" s="34"/>
      <c r="F3" s="34" t="s">
        <v>11</v>
      </c>
      <c r="G3" s="34"/>
      <c r="H3" s="34"/>
      <c r="I3" s="34" t="s">
        <v>12</v>
      </c>
      <c r="J3" s="34"/>
      <c r="K3" s="34"/>
      <c r="L3" s="34" t="s">
        <v>13</v>
      </c>
      <c r="M3" s="34"/>
      <c r="N3" s="34"/>
      <c r="O3" s="34" t="s">
        <v>14</v>
      </c>
      <c r="P3" s="34"/>
      <c r="Q3" s="34"/>
      <c r="R3" s="34" t="s">
        <v>15</v>
      </c>
      <c r="S3" s="34"/>
      <c r="T3" s="34"/>
      <c r="U3" s="34" t="s">
        <v>16</v>
      </c>
      <c r="V3" s="34"/>
      <c r="W3" s="34"/>
      <c r="X3" s="34" t="s">
        <v>17</v>
      </c>
      <c r="Y3" s="34"/>
      <c r="Z3" s="34"/>
      <c r="AA3" s="34" t="s">
        <v>18</v>
      </c>
      <c r="AB3" s="34"/>
      <c r="AC3" s="34"/>
    </row>
    <row r="4" spans="2:29" x14ac:dyDescent="0.3">
      <c r="B4" s="33"/>
      <c r="C4" s="35" t="s">
        <v>19</v>
      </c>
      <c r="D4" s="35" t="s">
        <v>20</v>
      </c>
      <c r="E4" s="35" t="s">
        <v>21</v>
      </c>
      <c r="F4" s="35" t="s">
        <v>19</v>
      </c>
      <c r="G4" s="35" t="s">
        <v>20</v>
      </c>
      <c r="H4" s="35" t="s">
        <v>21</v>
      </c>
      <c r="I4" s="35" t="s">
        <v>19</v>
      </c>
      <c r="J4" s="35" t="s">
        <v>20</v>
      </c>
      <c r="K4" s="35" t="s">
        <v>21</v>
      </c>
      <c r="L4" s="35" t="s">
        <v>19</v>
      </c>
      <c r="M4" s="35" t="s">
        <v>20</v>
      </c>
      <c r="N4" s="35" t="s">
        <v>21</v>
      </c>
      <c r="O4" s="35" t="s">
        <v>19</v>
      </c>
      <c r="P4" s="35" t="s">
        <v>20</v>
      </c>
      <c r="Q4" s="35" t="s">
        <v>21</v>
      </c>
      <c r="R4" s="35" t="s">
        <v>19</v>
      </c>
      <c r="S4" s="35" t="s">
        <v>20</v>
      </c>
      <c r="T4" s="35" t="s">
        <v>21</v>
      </c>
      <c r="U4" s="35" t="s">
        <v>19</v>
      </c>
      <c r="V4" s="35" t="s">
        <v>20</v>
      </c>
      <c r="W4" s="35" t="s">
        <v>21</v>
      </c>
      <c r="X4" s="35" t="s">
        <v>19</v>
      </c>
      <c r="Y4" s="35" t="s">
        <v>20</v>
      </c>
      <c r="Z4" s="35" t="s">
        <v>21</v>
      </c>
      <c r="AA4" s="35" t="s">
        <v>19</v>
      </c>
      <c r="AB4" s="35" t="s">
        <v>20</v>
      </c>
      <c r="AC4" s="35" t="s">
        <v>21</v>
      </c>
    </row>
    <row r="5" spans="2:29" x14ac:dyDescent="0.3">
      <c r="B5" s="36" t="s">
        <v>1</v>
      </c>
      <c r="C5" s="35">
        <v>73</v>
      </c>
      <c r="D5" s="35">
        <v>86</v>
      </c>
      <c r="E5" s="35">
        <v>23</v>
      </c>
      <c r="F5" s="35">
        <v>53</v>
      </c>
      <c r="G5" s="35">
        <v>70</v>
      </c>
      <c r="H5" s="35">
        <v>2</v>
      </c>
      <c r="I5" s="35">
        <v>71</v>
      </c>
      <c r="J5" s="35">
        <v>50</v>
      </c>
      <c r="K5" s="35">
        <v>0</v>
      </c>
      <c r="L5" s="35">
        <v>46</v>
      </c>
      <c r="M5" s="35">
        <v>82</v>
      </c>
      <c r="N5" s="35">
        <v>5</v>
      </c>
      <c r="O5" s="35">
        <v>69</v>
      </c>
      <c r="P5" s="35">
        <v>87</v>
      </c>
      <c r="Q5" s="35">
        <v>14</v>
      </c>
      <c r="R5" s="35">
        <v>51</v>
      </c>
      <c r="S5" s="35">
        <v>84</v>
      </c>
      <c r="T5" s="35">
        <v>5</v>
      </c>
      <c r="U5" s="35">
        <v>47</v>
      </c>
      <c r="V5" s="35">
        <v>72</v>
      </c>
      <c r="W5" s="35">
        <v>0</v>
      </c>
      <c r="X5" s="35">
        <v>19</v>
      </c>
      <c r="Y5" s="35">
        <v>76</v>
      </c>
      <c r="Z5" s="35">
        <v>0</v>
      </c>
      <c r="AA5" s="35">
        <v>45</v>
      </c>
      <c r="AB5" s="35">
        <v>84</v>
      </c>
      <c r="AC5" s="35">
        <v>17</v>
      </c>
    </row>
    <row r="6" spans="2:29" x14ac:dyDescent="0.3">
      <c r="B6" s="36" t="s">
        <v>2</v>
      </c>
      <c r="C6" s="35">
        <v>54</v>
      </c>
      <c r="D6" s="35">
        <v>85</v>
      </c>
      <c r="E6" s="35">
        <v>4</v>
      </c>
      <c r="F6" s="35">
        <v>29</v>
      </c>
      <c r="G6" s="35">
        <v>67</v>
      </c>
      <c r="H6" s="35">
        <v>0</v>
      </c>
      <c r="I6" s="35">
        <v>42</v>
      </c>
      <c r="J6" s="35">
        <v>43</v>
      </c>
      <c r="K6" s="35">
        <v>0</v>
      </c>
      <c r="L6" s="35">
        <v>36</v>
      </c>
      <c r="M6" s="35">
        <v>83</v>
      </c>
      <c r="N6" s="35">
        <v>9</v>
      </c>
      <c r="O6" s="35">
        <v>33</v>
      </c>
      <c r="P6" s="35">
        <v>78</v>
      </c>
      <c r="Q6" s="35">
        <v>0</v>
      </c>
      <c r="R6" s="35">
        <v>31</v>
      </c>
      <c r="S6" s="35">
        <v>80</v>
      </c>
      <c r="T6" s="35">
        <v>0</v>
      </c>
      <c r="U6" s="35">
        <v>29</v>
      </c>
      <c r="V6" s="35">
        <v>79</v>
      </c>
      <c r="W6" s="35">
        <v>0</v>
      </c>
      <c r="X6" s="35">
        <v>15</v>
      </c>
      <c r="Y6" s="35">
        <v>82</v>
      </c>
      <c r="Z6" s="35">
        <v>0</v>
      </c>
      <c r="AA6" s="35">
        <v>29</v>
      </c>
      <c r="AB6" s="35">
        <v>78</v>
      </c>
      <c r="AC6" s="35">
        <v>16</v>
      </c>
    </row>
    <row r="7" spans="2:29" x14ac:dyDescent="0.3">
      <c r="B7" s="36" t="s">
        <v>3</v>
      </c>
      <c r="C7" s="35">
        <v>49</v>
      </c>
      <c r="D7" s="35">
        <v>82</v>
      </c>
      <c r="E7" s="35">
        <v>5</v>
      </c>
      <c r="F7" s="35">
        <v>49</v>
      </c>
      <c r="G7" s="35">
        <v>75</v>
      </c>
      <c r="H7" s="35">
        <v>0</v>
      </c>
      <c r="I7" s="35">
        <v>45</v>
      </c>
      <c r="J7" s="35">
        <v>50</v>
      </c>
      <c r="K7" s="35">
        <v>0</v>
      </c>
      <c r="L7" s="35">
        <v>47</v>
      </c>
      <c r="M7" s="35">
        <v>82</v>
      </c>
      <c r="N7" s="35">
        <v>8</v>
      </c>
      <c r="O7" s="35">
        <v>75</v>
      </c>
      <c r="P7" s="35">
        <v>87</v>
      </c>
      <c r="Q7" s="35">
        <v>8</v>
      </c>
      <c r="R7" s="35">
        <v>58</v>
      </c>
      <c r="S7" s="35">
        <v>85</v>
      </c>
      <c r="T7" s="35">
        <v>6</v>
      </c>
      <c r="U7" s="35">
        <v>32</v>
      </c>
      <c r="V7" s="35">
        <v>77</v>
      </c>
      <c r="W7" s="35">
        <v>0</v>
      </c>
      <c r="X7" s="35">
        <v>30</v>
      </c>
      <c r="Y7" s="35">
        <v>79</v>
      </c>
      <c r="Z7" s="35">
        <v>29</v>
      </c>
      <c r="AA7" s="35">
        <v>29</v>
      </c>
      <c r="AB7" s="35">
        <v>78</v>
      </c>
      <c r="AC7" s="35">
        <v>3</v>
      </c>
    </row>
    <row r="8" spans="2:29" x14ac:dyDescent="0.3">
      <c r="B8" s="36" t="s">
        <v>4</v>
      </c>
      <c r="C8" s="35">
        <v>51</v>
      </c>
      <c r="D8" s="35">
        <v>83</v>
      </c>
      <c r="E8" s="35">
        <v>13</v>
      </c>
      <c r="F8" s="35">
        <v>54</v>
      </c>
      <c r="G8" s="35">
        <v>75</v>
      </c>
      <c r="H8" s="35">
        <v>5</v>
      </c>
      <c r="I8" s="35">
        <v>48</v>
      </c>
      <c r="J8" s="35">
        <v>52</v>
      </c>
      <c r="K8" s="35">
        <v>0</v>
      </c>
      <c r="L8" s="35">
        <v>48</v>
      </c>
      <c r="M8" s="35">
        <v>83</v>
      </c>
      <c r="N8" s="35">
        <v>8</v>
      </c>
      <c r="O8" s="35">
        <v>69</v>
      </c>
      <c r="P8" s="35">
        <v>85</v>
      </c>
      <c r="Q8" s="35">
        <v>8</v>
      </c>
      <c r="R8" s="35">
        <v>57</v>
      </c>
      <c r="S8" s="35">
        <v>83</v>
      </c>
      <c r="T8" s="35">
        <v>10</v>
      </c>
      <c r="U8" s="35">
        <v>47</v>
      </c>
      <c r="V8" s="35">
        <v>79</v>
      </c>
      <c r="W8" s="35">
        <v>0</v>
      </c>
      <c r="X8" s="35">
        <v>34</v>
      </c>
      <c r="Y8" s="35">
        <v>81</v>
      </c>
      <c r="Z8" s="35">
        <v>20</v>
      </c>
      <c r="AA8" s="35">
        <v>24</v>
      </c>
      <c r="AB8" s="35">
        <v>76</v>
      </c>
      <c r="AC8" s="35">
        <v>14</v>
      </c>
    </row>
    <row r="9" spans="2:29" x14ac:dyDescent="0.3">
      <c r="B9" s="36" t="s">
        <v>5</v>
      </c>
      <c r="C9" s="35">
        <v>62</v>
      </c>
      <c r="D9" s="35">
        <v>80</v>
      </c>
      <c r="E9" s="35">
        <v>10</v>
      </c>
      <c r="F9" s="35">
        <v>44</v>
      </c>
      <c r="G9" s="35">
        <v>74</v>
      </c>
      <c r="H9" s="35">
        <v>2</v>
      </c>
      <c r="I9" s="35">
        <v>54</v>
      </c>
      <c r="J9" s="35">
        <v>52</v>
      </c>
      <c r="K9" s="35">
        <v>0</v>
      </c>
      <c r="L9" s="35">
        <v>48</v>
      </c>
      <c r="M9" s="35">
        <v>80</v>
      </c>
      <c r="N9" s="35">
        <v>5</v>
      </c>
      <c r="O9" s="35">
        <v>58</v>
      </c>
      <c r="P9" s="35">
        <v>77</v>
      </c>
      <c r="Q9" s="35">
        <v>0</v>
      </c>
      <c r="R9" s="35">
        <v>52</v>
      </c>
      <c r="S9" s="35">
        <v>82</v>
      </c>
      <c r="T9" s="35">
        <v>3</v>
      </c>
      <c r="U9" s="35">
        <v>49</v>
      </c>
      <c r="V9" s="35">
        <v>71</v>
      </c>
      <c r="W9" s="35">
        <v>0</v>
      </c>
      <c r="X9" s="35">
        <v>36</v>
      </c>
      <c r="Y9" s="35">
        <v>85</v>
      </c>
      <c r="Z9" s="35">
        <v>15</v>
      </c>
      <c r="AA9" s="35">
        <v>47</v>
      </c>
      <c r="AB9" s="35">
        <v>86</v>
      </c>
      <c r="AC9" s="35">
        <v>16</v>
      </c>
    </row>
    <row r="10" spans="2:29" x14ac:dyDescent="0.3">
      <c r="B10" s="36" t="s">
        <v>6</v>
      </c>
      <c r="C10" s="35">
        <v>66</v>
      </c>
      <c r="D10" s="35">
        <v>86</v>
      </c>
      <c r="E10" s="35">
        <v>33</v>
      </c>
      <c r="F10" s="35">
        <v>70</v>
      </c>
      <c r="G10" s="35">
        <v>81</v>
      </c>
      <c r="H10" s="35">
        <v>9</v>
      </c>
      <c r="I10" s="35">
        <v>63</v>
      </c>
      <c r="J10" s="35">
        <v>44</v>
      </c>
      <c r="K10" s="35">
        <v>4</v>
      </c>
      <c r="L10" s="35">
        <v>58</v>
      </c>
      <c r="M10" s="35">
        <v>87</v>
      </c>
      <c r="N10" s="35">
        <v>21</v>
      </c>
      <c r="O10" s="35">
        <v>90</v>
      </c>
      <c r="P10" s="35">
        <v>90</v>
      </c>
      <c r="Q10" s="35">
        <v>18</v>
      </c>
      <c r="R10" s="35">
        <v>52</v>
      </c>
      <c r="S10" s="35">
        <v>86</v>
      </c>
      <c r="T10" s="35">
        <v>7</v>
      </c>
      <c r="U10" s="35">
        <v>68</v>
      </c>
      <c r="V10" s="35">
        <v>85</v>
      </c>
      <c r="W10" s="35">
        <v>2</v>
      </c>
      <c r="X10" s="35">
        <v>48</v>
      </c>
      <c r="Y10" s="35">
        <v>87</v>
      </c>
      <c r="Z10" s="35">
        <v>36</v>
      </c>
      <c r="AA10" s="35">
        <v>29</v>
      </c>
      <c r="AB10" s="35">
        <v>78</v>
      </c>
      <c r="AC10" s="35">
        <v>15</v>
      </c>
    </row>
    <row r="11" spans="2:29" x14ac:dyDescent="0.3">
      <c r="B11" s="36" t="s">
        <v>46</v>
      </c>
      <c r="C11" s="37">
        <v>69</v>
      </c>
      <c r="D11" s="37">
        <v>86</v>
      </c>
      <c r="E11" s="37">
        <v>19</v>
      </c>
      <c r="F11" s="37">
        <v>64.77</v>
      </c>
      <c r="G11" s="37">
        <v>81.88</v>
      </c>
      <c r="H11" s="37">
        <v>18.75</v>
      </c>
      <c r="I11" s="37">
        <v>56</v>
      </c>
      <c r="J11" s="37">
        <v>56.34</v>
      </c>
      <c r="K11" s="37">
        <v>1.03</v>
      </c>
      <c r="L11" s="37">
        <v>55</v>
      </c>
      <c r="M11" s="37">
        <v>84.86</v>
      </c>
      <c r="N11" s="37">
        <v>8</v>
      </c>
      <c r="O11" s="37">
        <v>83.84</v>
      </c>
      <c r="P11" s="37">
        <v>88.63</v>
      </c>
      <c r="Q11" s="37">
        <v>21.43</v>
      </c>
      <c r="R11" s="37">
        <v>64.83</v>
      </c>
      <c r="S11" s="37">
        <v>88.61</v>
      </c>
      <c r="T11" s="37">
        <v>25</v>
      </c>
      <c r="U11" s="37">
        <v>71</v>
      </c>
      <c r="V11" s="37">
        <v>84</v>
      </c>
      <c r="W11" s="37">
        <v>0</v>
      </c>
      <c r="X11" s="37">
        <v>52.05</v>
      </c>
      <c r="Y11" s="37">
        <v>89.5</v>
      </c>
      <c r="Z11" s="37">
        <v>37.5</v>
      </c>
      <c r="AA11" s="37">
        <v>52</v>
      </c>
      <c r="AB11" s="37">
        <v>86</v>
      </c>
      <c r="AC11" s="37">
        <v>28</v>
      </c>
    </row>
    <row r="32" spans="3:12" x14ac:dyDescent="0.3"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3:12" x14ac:dyDescent="0.3">
      <c r="C33" s="27"/>
      <c r="D33" s="27"/>
      <c r="E33" s="27"/>
      <c r="F33" s="27"/>
      <c r="G33" s="27"/>
      <c r="H33" s="27"/>
      <c r="I33" s="27"/>
      <c r="J33" s="27"/>
      <c r="K33" s="27"/>
      <c r="L33" s="28"/>
    </row>
    <row r="34" spans="3:12" x14ac:dyDescent="0.3">
      <c r="C34" s="27"/>
      <c r="D34" s="27"/>
      <c r="E34" s="1"/>
      <c r="F34" s="27"/>
      <c r="G34" s="27"/>
      <c r="H34" s="27"/>
      <c r="I34" s="27"/>
      <c r="J34" s="27"/>
      <c r="K34" s="27"/>
      <c r="L34" s="28"/>
    </row>
    <row r="35" spans="3:12" x14ac:dyDescent="0.3">
      <c r="C35" s="27"/>
      <c r="D35" s="27"/>
      <c r="E35" s="27"/>
      <c r="F35" s="27"/>
      <c r="G35" s="27"/>
      <c r="H35" s="27"/>
      <c r="I35" s="27"/>
      <c r="J35" s="27"/>
      <c r="K35" s="27"/>
      <c r="L35" s="28"/>
    </row>
    <row r="36" spans="3:12" x14ac:dyDescent="0.3">
      <c r="C36" s="27"/>
      <c r="D36" s="27"/>
      <c r="E36" s="1"/>
      <c r="F36" s="27"/>
      <c r="G36" s="27"/>
      <c r="H36" s="27"/>
      <c r="I36" s="27"/>
      <c r="J36" s="27"/>
      <c r="K36" s="27"/>
      <c r="L36" s="28"/>
    </row>
    <row r="37" spans="3:12" x14ac:dyDescent="0.3">
      <c r="C37" s="27"/>
      <c r="D37" s="27"/>
      <c r="E37" s="27"/>
      <c r="F37" s="27"/>
      <c r="G37" s="27"/>
      <c r="H37" s="27"/>
      <c r="I37" s="27"/>
      <c r="J37" s="27"/>
      <c r="K37" s="27"/>
      <c r="L37" s="28"/>
    </row>
    <row r="38" spans="3:12" x14ac:dyDescent="0.3">
      <c r="C38" s="27"/>
      <c r="D38" s="27"/>
      <c r="E38" s="27"/>
      <c r="F38" s="27"/>
      <c r="G38" s="27"/>
      <c r="H38" s="27"/>
      <c r="I38" s="27"/>
      <c r="J38" s="27"/>
      <c r="K38" s="27"/>
      <c r="L38" s="28"/>
    </row>
    <row r="39" spans="3:12" x14ac:dyDescent="0.3">
      <c r="C39" s="27"/>
      <c r="D39" s="27"/>
      <c r="E39" s="27"/>
      <c r="F39" s="27"/>
      <c r="G39" s="27"/>
      <c r="H39" s="27"/>
      <c r="I39" s="27"/>
      <c r="J39" s="27"/>
      <c r="K39" s="27"/>
      <c r="L39" s="28"/>
    </row>
    <row r="40" spans="3:12" x14ac:dyDescent="0.3">
      <c r="C40" s="27"/>
      <c r="D40" s="27"/>
      <c r="E40" s="27"/>
      <c r="F40" s="27"/>
      <c r="G40" s="27"/>
      <c r="H40" s="27"/>
      <c r="I40" s="27"/>
      <c r="J40" s="27"/>
      <c r="K40" s="27"/>
      <c r="L40" s="28"/>
    </row>
  </sheetData>
  <mergeCells count="9">
    <mergeCell ref="C3:E3"/>
    <mergeCell ref="F3:H3"/>
    <mergeCell ref="I3:K3"/>
    <mergeCell ref="L3:N3"/>
    <mergeCell ref="O3:Q3"/>
    <mergeCell ref="R3:T3"/>
    <mergeCell ref="U3:W3"/>
    <mergeCell ref="X3:Z3"/>
    <mergeCell ref="AA3:AC3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978D6-CCCA-4C5C-8BC9-4BFC6185521C}">
  <dimension ref="B3:L10"/>
  <sheetViews>
    <sheetView workbookViewId="0">
      <selection sqref="A1:XFD1"/>
    </sheetView>
  </sheetViews>
  <sheetFormatPr defaultRowHeight="14" x14ac:dyDescent="0.3"/>
  <sheetData>
    <row r="3" spans="2:12" x14ac:dyDescent="0.3">
      <c r="B3" s="2" t="s">
        <v>37</v>
      </c>
      <c r="C3" s="1" t="s">
        <v>10</v>
      </c>
      <c r="D3" s="1" t="s">
        <v>11</v>
      </c>
      <c r="E3" s="1" t="s">
        <v>12</v>
      </c>
      <c r="F3" s="1" t="s">
        <v>13</v>
      </c>
      <c r="G3" s="1" t="s">
        <v>14</v>
      </c>
      <c r="H3" s="1" t="s">
        <v>15</v>
      </c>
      <c r="I3" s="1" t="s">
        <v>16</v>
      </c>
      <c r="J3" s="1" t="s">
        <v>31</v>
      </c>
      <c r="K3" s="1" t="s">
        <v>18</v>
      </c>
      <c r="L3" s="1" t="s">
        <v>7</v>
      </c>
    </row>
    <row r="4" spans="2:12" x14ac:dyDescent="0.3">
      <c r="B4" s="2" t="s">
        <v>1</v>
      </c>
      <c r="C4" s="27">
        <v>4.5199999999999996</v>
      </c>
      <c r="D4" s="27">
        <v>3.24</v>
      </c>
      <c r="E4" s="27">
        <v>645.12</v>
      </c>
      <c r="F4" s="27">
        <v>8.5299999999999994</v>
      </c>
      <c r="G4" s="27">
        <v>2.35</v>
      </c>
      <c r="H4" s="27">
        <v>3.2</v>
      </c>
      <c r="I4" s="27">
        <v>129.76</v>
      </c>
      <c r="J4" s="27">
        <v>2.15</v>
      </c>
      <c r="K4" s="27">
        <v>8.3800000000000008</v>
      </c>
      <c r="L4" s="28">
        <f>AVERAGE(C4:K4)</f>
        <v>89.694444444444443</v>
      </c>
    </row>
    <row r="5" spans="2:12" x14ac:dyDescent="0.3">
      <c r="B5" s="2" t="s">
        <v>2</v>
      </c>
      <c r="C5" s="27">
        <v>68.430000000000007</v>
      </c>
      <c r="D5" s="27">
        <v>15.12</v>
      </c>
      <c r="E5" s="1">
        <v>14706.18</v>
      </c>
      <c r="F5" s="27">
        <v>590.71</v>
      </c>
      <c r="G5" s="27">
        <v>10.56</v>
      </c>
      <c r="H5" s="27">
        <v>32.35</v>
      </c>
      <c r="I5" s="27">
        <v>387.15</v>
      </c>
      <c r="J5" s="27">
        <v>30.66</v>
      </c>
      <c r="K5" s="27">
        <v>317.52</v>
      </c>
      <c r="L5" s="28">
        <f>AVERAGE(C5:K5)</f>
        <v>1795.4088888888887</v>
      </c>
    </row>
    <row r="6" spans="2:12" x14ac:dyDescent="0.3">
      <c r="B6" s="2" t="s">
        <v>3</v>
      </c>
      <c r="C6" s="27">
        <v>4.82</v>
      </c>
      <c r="D6" s="27">
        <v>3.32</v>
      </c>
      <c r="E6" s="27">
        <v>12149.95</v>
      </c>
      <c r="F6" s="27">
        <v>8.26</v>
      </c>
      <c r="G6" s="27">
        <v>5.4</v>
      </c>
      <c r="H6" s="27">
        <v>3.76</v>
      </c>
      <c r="I6" s="27">
        <v>1274.25</v>
      </c>
      <c r="J6" s="27">
        <v>2.08</v>
      </c>
      <c r="K6" s="27">
        <v>10.45</v>
      </c>
      <c r="L6" s="28">
        <f>AVERAGE(C6:K6)</f>
        <v>1495.8100000000002</v>
      </c>
    </row>
    <row r="7" spans="2:12" x14ac:dyDescent="0.3">
      <c r="B7" s="2" t="s">
        <v>4</v>
      </c>
      <c r="C7" s="27">
        <v>6.32</v>
      </c>
      <c r="D7" s="27">
        <v>5.54</v>
      </c>
      <c r="E7" s="1">
        <v>18318.509999999998</v>
      </c>
      <c r="F7" s="27">
        <v>12.35</v>
      </c>
      <c r="G7" s="27">
        <v>8.85</v>
      </c>
      <c r="H7" s="27">
        <v>6.45</v>
      </c>
      <c r="I7" s="27">
        <v>4811.53</v>
      </c>
      <c r="J7" s="27">
        <v>3.3</v>
      </c>
      <c r="K7" s="27">
        <v>13.8</v>
      </c>
      <c r="L7" s="28">
        <f>AVERAGE(C7:K7)</f>
        <v>2576.2944444444438</v>
      </c>
    </row>
    <row r="8" spans="2:12" x14ac:dyDescent="0.3">
      <c r="B8" s="2" t="s">
        <v>5</v>
      </c>
      <c r="C8" s="27">
        <v>2.19</v>
      </c>
      <c r="D8" s="27">
        <v>0.83</v>
      </c>
      <c r="E8" s="27">
        <v>1263.6099999999999</v>
      </c>
      <c r="F8" s="27">
        <v>1.42</v>
      </c>
      <c r="G8" s="27">
        <v>0.43</v>
      </c>
      <c r="H8" s="27">
        <v>0.49</v>
      </c>
      <c r="I8" s="27">
        <v>351.98</v>
      </c>
      <c r="J8" s="27">
        <v>0.38</v>
      </c>
      <c r="K8" s="27">
        <v>2.4300000000000002</v>
      </c>
      <c r="L8" s="28">
        <f>AVERAGE(C8:K8)</f>
        <v>180.41777777777781</v>
      </c>
    </row>
    <row r="9" spans="2:12" x14ac:dyDescent="0.3">
      <c r="B9" s="2" t="s">
        <v>6</v>
      </c>
      <c r="C9" s="27">
        <v>70.95</v>
      </c>
      <c r="D9" s="27">
        <v>40.93</v>
      </c>
      <c r="E9" s="27">
        <v>2438.09</v>
      </c>
      <c r="F9" s="27">
        <v>61.74</v>
      </c>
      <c r="G9" s="27">
        <v>11.72</v>
      </c>
      <c r="H9" s="27">
        <v>19.41</v>
      </c>
      <c r="I9" s="27">
        <v>960.04</v>
      </c>
      <c r="J9" s="27">
        <v>33.770000000000003</v>
      </c>
      <c r="K9" s="27">
        <v>65.040000000000006</v>
      </c>
      <c r="L9" s="28">
        <f>AVERAGE(C9:K9)</f>
        <v>411.29888888888883</v>
      </c>
    </row>
    <row r="10" spans="2:12" x14ac:dyDescent="0.3">
      <c r="B10" s="2" t="s">
        <v>46</v>
      </c>
      <c r="C10" s="27">
        <v>17.57</v>
      </c>
      <c r="D10" s="27">
        <v>12.43</v>
      </c>
      <c r="E10" s="27">
        <v>433.63</v>
      </c>
      <c r="F10" s="27">
        <v>19.73</v>
      </c>
      <c r="G10" s="27">
        <v>8.1999999999999993</v>
      </c>
      <c r="H10" s="27">
        <v>6.7</v>
      </c>
      <c r="I10" s="27">
        <v>236.77</v>
      </c>
      <c r="J10" s="27">
        <v>6.8</v>
      </c>
      <c r="K10" s="27">
        <v>25.77</v>
      </c>
      <c r="L10" s="28">
        <f>AVERAGE(C10:K10)</f>
        <v>85.288888888888877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2D6EB-2723-43B9-80B6-0625E61A1316}">
  <dimension ref="B2:E9"/>
  <sheetViews>
    <sheetView workbookViewId="0">
      <selection activeCell="J11" sqref="J11"/>
    </sheetView>
  </sheetViews>
  <sheetFormatPr defaultRowHeight="14" x14ac:dyDescent="0.3"/>
  <cols>
    <col min="1" max="1" width="8.6640625" customWidth="1"/>
    <col min="2" max="2" width="12" customWidth="1"/>
  </cols>
  <sheetData>
    <row r="2" spans="2:5" ht="14.5" thickBot="1" x14ac:dyDescent="0.35"/>
    <row r="3" spans="2:5" x14ac:dyDescent="0.3">
      <c r="B3" s="24"/>
      <c r="C3" s="25" t="s">
        <v>9</v>
      </c>
      <c r="D3" s="7" t="s">
        <v>0</v>
      </c>
      <c r="E3" s="7" t="s">
        <v>8</v>
      </c>
    </row>
    <row r="4" spans="2:5" x14ac:dyDescent="0.3">
      <c r="B4" s="2" t="s">
        <v>1</v>
      </c>
      <c r="C4" s="1" t="s">
        <v>36</v>
      </c>
      <c r="D4" s="1" t="s">
        <v>39</v>
      </c>
      <c r="E4" s="1" t="s">
        <v>39</v>
      </c>
    </row>
    <row r="5" spans="2:5" x14ac:dyDescent="0.3">
      <c r="B5" s="2" t="s">
        <v>2</v>
      </c>
      <c r="C5" s="1" t="s">
        <v>40</v>
      </c>
      <c r="D5" s="1" t="s">
        <v>38</v>
      </c>
      <c r="E5" s="1" t="s">
        <v>32</v>
      </c>
    </row>
    <row r="6" spans="2:5" x14ac:dyDescent="0.3">
      <c r="B6" s="2" t="s">
        <v>3</v>
      </c>
      <c r="C6" s="1" t="s">
        <v>38</v>
      </c>
      <c r="D6" s="1" t="s">
        <v>42</v>
      </c>
      <c r="E6" s="1" t="s">
        <v>45</v>
      </c>
    </row>
    <row r="7" spans="2:5" x14ac:dyDescent="0.3">
      <c r="B7" s="2" t="s">
        <v>4</v>
      </c>
      <c r="C7" s="1" t="s">
        <v>38</v>
      </c>
      <c r="D7" s="1" t="s">
        <v>34</v>
      </c>
      <c r="E7" s="1" t="s">
        <v>39</v>
      </c>
    </row>
    <row r="8" spans="2:5" x14ac:dyDescent="0.3">
      <c r="B8" s="2" t="s">
        <v>5</v>
      </c>
      <c r="C8" s="1" t="s">
        <v>33</v>
      </c>
      <c r="D8" s="1" t="s">
        <v>42</v>
      </c>
      <c r="E8" s="1" t="s">
        <v>35</v>
      </c>
    </row>
    <row r="9" spans="2:5" ht="14.5" thickBot="1" x14ac:dyDescent="0.35">
      <c r="B9" s="26" t="s">
        <v>6</v>
      </c>
      <c r="C9" s="6" t="s">
        <v>41</v>
      </c>
      <c r="D9" s="6" t="s">
        <v>43</v>
      </c>
      <c r="E9" s="6" t="s">
        <v>44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E0831-D3A0-48FF-AD21-5193CF9F1240}">
  <dimension ref="B3:AG14"/>
  <sheetViews>
    <sheetView tabSelected="1" workbookViewId="0">
      <selection activeCell="I19" sqref="I19"/>
    </sheetView>
  </sheetViews>
  <sheetFormatPr defaultRowHeight="14" x14ac:dyDescent="0.3"/>
  <cols>
    <col min="2" max="2" width="15.4140625" customWidth="1"/>
  </cols>
  <sheetData>
    <row r="3" spans="2:33" s="2" customFormat="1" x14ac:dyDescent="0.3">
      <c r="B3" s="9"/>
      <c r="C3" s="32" t="s">
        <v>10</v>
      </c>
      <c r="D3" s="32"/>
      <c r="E3" s="32"/>
      <c r="F3" s="32" t="s">
        <v>11</v>
      </c>
      <c r="G3" s="32"/>
      <c r="H3" s="32"/>
      <c r="I3" s="32" t="s">
        <v>12</v>
      </c>
      <c r="J3" s="32"/>
      <c r="K3" s="32"/>
      <c r="L3" s="32" t="s">
        <v>13</v>
      </c>
      <c r="M3" s="32"/>
      <c r="N3" s="32"/>
      <c r="O3" s="32" t="s">
        <v>14</v>
      </c>
      <c r="P3" s="32"/>
      <c r="Q3" s="32"/>
      <c r="R3" s="32" t="s">
        <v>15</v>
      </c>
      <c r="S3" s="32"/>
      <c r="T3" s="32"/>
      <c r="U3" s="32" t="s">
        <v>16</v>
      </c>
      <c r="V3" s="32"/>
      <c r="W3" s="32"/>
      <c r="X3" s="32" t="s">
        <v>17</v>
      </c>
      <c r="Y3" s="32"/>
      <c r="Z3" s="32"/>
      <c r="AA3" s="32" t="s">
        <v>18</v>
      </c>
      <c r="AB3" s="32"/>
      <c r="AC3" s="32"/>
    </row>
    <row r="4" spans="2:33" s="2" customFormat="1" x14ac:dyDescent="0.3">
      <c r="B4" s="9"/>
      <c r="C4" s="8" t="s">
        <v>19</v>
      </c>
      <c r="D4" s="8" t="s">
        <v>20</v>
      </c>
      <c r="E4" s="8" t="s">
        <v>21</v>
      </c>
      <c r="F4" s="8" t="s">
        <v>19</v>
      </c>
      <c r="G4" s="8" t="s">
        <v>20</v>
      </c>
      <c r="H4" s="8" t="s">
        <v>21</v>
      </c>
      <c r="I4" s="8" t="s">
        <v>19</v>
      </c>
      <c r="J4" s="8" t="s">
        <v>20</v>
      </c>
      <c r="K4" s="8" t="s">
        <v>21</v>
      </c>
      <c r="L4" s="8" t="s">
        <v>19</v>
      </c>
      <c r="M4" s="8" t="s">
        <v>20</v>
      </c>
      <c r="N4" s="8" t="s">
        <v>21</v>
      </c>
      <c r="O4" s="8" t="s">
        <v>19</v>
      </c>
      <c r="P4" s="8" t="s">
        <v>20</v>
      </c>
      <c r="Q4" s="8" t="s">
        <v>21</v>
      </c>
      <c r="R4" s="8" t="s">
        <v>19</v>
      </c>
      <c r="S4" s="8" t="s">
        <v>20</v>
      </c>
      <c r="T4" s="8" t="s">
        <v>21</v>
      </c>
      <c r="U4" s="8" t="s">
        <v>19</v>
      </c>
      <c r="V4" s="8" t="s">
        <v>20</v>
      </c>
      <c r="W4" s="8" t="s">
        <v>21</v>
      </c>
      <c r="X4" s="8" t="s">
        <v>19</v>
      </c>
      <c r="Y4" s="8" t="s">
        <v>20</v>
      </c>
      <c r="Z4" s="8" t="s">
        <v>21</v>
      </c>
      <c r="AA4" s="8" t="s">
        <v>19</v>
      </c>
      <c r="AB4" s="8" t="s">
        <v>20</v>
      </c>
      <c r="AC4" s="8" t="s">
        <v>21</v>
      </c>
    </row>
    <row r="5" spans="2:33" s="2" customFormat="1" x14ac:dyDescent="0.3">
      <c r="B5" s="9" t="s">
        <v>22</v>
      </c>
      <c r="C5" s="8">
        <v>49.11</v>
      </c>
      <c r="D5" s="8">
        <v>82.21</v>
      </c>
      <c r="E5" s="8">
        <v>0</v>
      </c>
      <c r="F5" s="8">
        <v>53.69</v>
      </c>
      <c r="G5" s="8">
        <v>75.09</v>
      </c>
      <c r="H5" s="8">
        <v>0</v>
      </c>
      <c r="I5" s="8">
        <v>50.54</v>
      </c>
      <c r="J5" s="8">
        <v>55.65</v>
      </c>
      <c r="K5" s="8">
        <v>1</v>
      </c>
      <c r="L5" s="8">
        <v>44.88</v>
      </c>
      <c r="M5" s="8">
        <v>83.89</v>
      </c>
      <c r="N5" s="8">
        <v>4.55</v>
      </c>
      <c r="O5" s="8">
        <v>60.61</v>
      </c>
      <c r="P5" s="8">
        <v>85.85</v>
      </c>
      <c r="Q5" s="8">
        <v>12.6</v>
      </c>
      <c r="R5" s="8">
        <v>43.45</v>
      </c>
      <c r="S5" s="8">
        <v>83.9</v>
      </c>
      <c r="T5" s="8">
        <v>9.52</v>
      </c>
      <c r="U5" s="8">
        <v>68.599999999999994</v>
      </c>
      <c r="V5" s="8">
        <v>82.56</v>
      </c>
      <c r="W5" s="8">
        <v>0</v>
      </c>
      <c r="X5" s="8">
        <v>41.1</v>
      </c>
      <c r="Y5" s="8">
        <v>86.5</v>
      </c>
      <c r="Z5" s="8">
        <v>0</v>
      </c>
      <c r="AA5" s="8">
        <v>44.69</v>
      </c>
      <c r="AB5" s="8">
        <v>85.76</v>
      </c>
      <c r="AC5" s="8">
        <v>16.850000000000001</v>
      </c>
    </row>
    <row r="6" spans="2:33" s="2" customFormat="1" x14ac:dyDescent="0.3">
      <c r="B6" s="9" t="s">
        <v>23</v>
      </c>
      <c r="C6" s="8">
        <v>65.599999999999994</v>
      </c>
      <c r="D6" s="8">
        <v>87.42</v>
      </c>
      <c r="E6" s="8">
        <v>35.71</v>
      </c>
      <c r="F6" s="8">
        <v>50.34</v>
      </c>
      <c r="G6" s="8">
        <v>80.760000000000005</v>
      </c>
      <c r="H6" s="8">
        <v>2.56</v>
      </c>
      <c r="I6" s="8">
        <v>49.17</v>
      </c>
      <c r="J6" s="8">
        <v>58.59</v>
      </c>
      <c r="K6" s="8">
        <v>0.9</v>
      </c>
      <c r="L6" s="8">
        <v>52.47</v>
      </c>
      <c r="M6" s="8">
        <v>84.36</v>
      </c>
      <c r="N6" s="8">
        <v>4.25</v>
      </c>
      <c r="O6" s="8">
        <v>72.22</v>
      </c>
      <c r="P6" s="8">
        <v>87.92</v>
      </c>
      <c r="Q6" s="8">
        <v>7.14</v>
      </c>
      <c r="R6" s="8">
        <v>53.79</v>
      </c>
      <c r="S6" s="8">
        <v>85.49</v>
      </c>
      <c r="T6" s="8">
        <v>6.25</v>
      </c>
      <c r="U6" s="8">
        <v>54.03</v>
      </c>
      <c r="V6" s="8">
        <v>81.290000000000006</v>
      </c>
      <c r="W6" s="8">
        <v>0</v>
      </c>
      <c r="X6" s="8">
        <v>32.68</v>
      </c>
      <c r="Y6" s="8">
        <v>86.26</v>
      </c>
      <c r="Z6" s="8">
        <v>5.56</v>
      </c>
      <c r="AA6" s="8">
        <v>55.78</v>
      </c>
      <c r="AB6" s="8">
        <v>87.66</v>
      </c>
      <c r="AC6" s="8">
        <v>19.23</v>
      </c>
    </row>
    <row r="7" spans="2:33" s="2" customFormat="1" x14ac:dyDescent="0.3"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2:33" s="2" customFormat="1" x14ac:dyDescent="0.3"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spans="2:33" s="2" customFormat="1" x14ac:dyDescent="0.3">
      <c r="B9" s="16"/>
      <c r="C9" s="10"/>
      <c r="D9" s="4" t="s">
        <v>9</v>
      </c>
      <c r="E9" s="4" t="s">
        <v>0</v>
      </c>
      <c r="F9" s="5" t="s">
        <v>8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2:33" s="2" customFormat="1" ht="14.5" thickBot="1" x14ac:dyDescent="0.35">
      <c r="B10" s="20" t="s">
        <v>46</v>
      </c>
      <c r="C10" s="21" t="s">
        <v>28</v>
      </c>
      <c r="D10" s="22">
        <v>63</v>
      </c>
      <c r="E10" s="22">
        <v>83</v>
      </c>
      <c r="F10" s="23">
        <v>17</v>
      </c>
    </row>
    <row r="11" spans="2:33" s="2" customFormat="1" ht="14.5" thickTop="1" x14ac:dyDescent="0.3">
      <c r="B11" s="29" t="s">
        <v>25</v>
      </c>
      <c r="C11" s="11" t="s">
        <v>27</v>
      </c>
      <c r="D11" s="12">
        <v>51</v>
      </c>
      <c r="E11" s="12">
        <v>80</v>
      </c>
      <c r="F11" s="14">
        <v>5</v>
      </c>
      <c r="AG11" s="2" t="s">
        <v>24</v>
      </c>
    </row>
    <row r="12" spans="2:33" s="2" customFormat="1" x14ac:dyDescent="0.3">
      <c r="B12" s="30"/>
      <c r="C12" s="2" t="s">
        <v>30</v>
      </c>
      <c r="D12" s="13">
        <f>(D11-D10)/D10</f>
        <v>-0.19047619047619047</v>
      </c>
      <c r="E12" s="13">
        <f>(E11-E10)/E10</f>
        <v>-3.614457831325301E-2</v>
      </c>
      <c r="F12" s="15">
        <f>(F11-F10)/F10</f>
        <v>-0.70588235294117652</v>
      </c>
    </row>
    <row r="13" spans="2:33" s="2" customFormat="1" x14ac:dyDescent="0.3">
      <c r="B13" s="30" t="s">
        <v>26</v>
      </c>
      <c r="C13" s="38" t="s">
        <v>27</v>
      </c>
      <c r="D13" s="39">
        <v>54</v>
      </c>
      <c r="E13" s="39">
        <v>82</v>
      </c>
      <c r="F13" s="3">
        <v>9</v>
      </c>
    </row>
    <row r="14" spans="2:33" s="2" customFormat="1" x14ac:dyDescent="0.3">
      <c r="B14" s="31"/>
      <c r="C14" s="19" t="s">
        <v>29</v>
      </c>
      <c r="D14" s="17">
        <f>(D13-D10)/D10</f>
        <v>-0.14285714285714285</v>
      </c>
      <c r="E14" s="17">
        <f>(E13-E10)/E10</f>
        <v>-1.2048192771084338E-2</v>
      </c>
      <c r="F14" s="18">
        <f>(F13-F10)/F10</f>
        <v>-0.47058823529411764</v>
      </c>
    </row>
  </sheetData>
  <mergeCells count="11">
    <mergeCell ref="B11:B12"/>
    <mergeCell ref="B13:B14"/>
    <mergeCell ref="C3:E3"/>
    <mergeCell ref="U3:W3"/>
    <mergeCell ref="X3:Z3"/>
    <mergeCell ref="AA3:AC3"/>
    <mergeCell ref="F3:H3"/>
    <mergeCell ref="I3:K3"/>
    <mergeCell ref="L3:N3"/>
    <mergeCell ref="O3:Q3"/>
    <mergeCell ref="R3:T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Metric</vt:lpstr>
      <vt:lpstr>Time</vt:lpstr>
      <vt:lpstr>Cliff's delta</vt:lpstr>
      <vt:lpstr>Ablation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</dc:creator>
  <cp:lastModifiedBy>w d</cp:lastModifiedBy>
  <dcterms:created xsi:type="dcterms:W3CDTF">2015-06-05T18:19:34Z</dcterms:created>
  <dcterms:modified xsi:type="dcterms:W3CDTF">2025-05-30T11:23:40Z</dcterms:modified>
</cp:coreProperties>
</file>